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s" sheetId="2" state="visible" r:id="rId4"/>
    <sheet name="Series catalog" sheetId="3" state="visible" r:id="rId5"/>
    <sheet name="Assumptions v1" sheetId="4" state="visible" r:id="rId6"/>
    <sheet name="Calcul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<sst xmlns="http://schemas.openxmlformats.org/spreadsheetml/2006/main" count="220" uniqueCount="190">
  <si>
    <t xml:space="preserve">The Return on Thinking - sources &amp; calculations workbook</t>
  </si>
  <si>
    <t xml:space="preserve">Version</t>
  </si>
  <si>
    <t xml:space="preserve">Methodology v1 (active 2026-06-12)</t>
  </si>
  <si>
    <t xml:space="preserve">Website</t>
  </si>
  <si>
    <t xml:space="preserve">https://returns.priceofthinking.com</t>
  </si>
  <si>
    <t xml:space="preserve">Repository (code + data, MIT)</t>
  </si>
  <si>
    <t xml:space="preserve">https://github.com/allangiraf-hub/return-on-thinking</t>
  </si>
  <si>
    <t xml:space="preserve">Contact</t>
  </si>
  <si>
    <t xml:space="preserve">allan@aroscapital.com</t>
  </si>
  <si>
    <t xml:space="preserve">Sheets</t>
  </si>
  <si>
    <t xml:space="preserve">Sources / Series catalog / Calculations / Assumptions v1</t>
  </si>
  <si>
    <t xml:space="preserve">Color code</t>
  </si>
  <si>
    <t xml:space="preserve">BLUE = input or assumption (change for scenarios); BLACK = formula</t>
  </si>
  <si>
    <t xml:space="preserve">Rule</t>
  </si>
  <si>
    <t xml:space="preserve">every published number traces to a public primary source; this workbook is the map</t>
  </si>
  <si>
    <t xml:space="preserve">Source</t>
  </si>
  <si>
    <t xml:space="preserve">What we take</t>
  </si>
  <si>
    <t xml:space="preserve">Access</t>
  </si>
  <si>
    <t xml:space="preserve">Cadence</t>
  </si>
  <si>
    <t xml:space="preserve">Tier</t>
  </si>
  <si>
    <t xml:space="preserve">URL</t>
  </si>
  <si>
    <t xml:space="preserve">SEC EDGAR XBRL company facts</t>
  </si>
  <si>
    <t xml:space="preserve">capex, operating cash flow, debt issuance per firm (quarterly, derived from YTD)</t>
  </si>
  <si>
    <t xml:space="preserve">free JSON API, no key</t>
  </si>
  <si>
    <t xml:space="preserve">on filing / weekly</t>
  </si>
  <si>
    <t xml:space="preserve">T1</t>
  </si>
  <si>
    <t xml:space="preserve">https://data.sec.gov</t>
  </si>
  <si>
    <t xml:space="preserve">US Census C30 construction</t>
  </si>
  <si>
    <t xml:space="preserve">data-centre construction put in place, private SA</t>
  </si>
  <si>
    <t xml:space="preserve">published XLSX, no key</t>
  </si>
  <si>
    <t xml:space="preserve">monthly</t>
  </si>
  <si>
    <t xml:space="preserve">https://www.census.gov/construction/c30/c30index.html</t>
  </si>
  <si>
    <t xml:space="preserve">US Treasury yield curve</t>
  </si>
  <si>
    <t xml:space="preserve">10-year par yield</t>
  </si>
  <si>
    <t xml:space="preserve">published CSV, no key</t>
  </si>
  <si>
    <t xml:space="preserve">daily / weekly pull</t>
  </si>
  <si>
    <t xml:space="preserve">https://home.treasury.gov</t>
  </si>
  <si>
    <t xml:space="preserve">FRED</t>
  </si>
  <si>
    <t xml:space="preserve">Baa spread; 10y cross-check</t>
  </si>
  <si>
    <t xml:space="preserve">fredgraph.csv (retry + canary)</t>
  </si>
  <si>
    <t xml:space="preserve">weekly</t>
  </si>
  <si>
    <t xml:space="preserve">https://fred.stlouisfed.org</t>
  </si>
  <si>
    <t xml:space="preserve">vast.ai marketplace</t>
  </si>
  <si>
    <t xml:space="preserve">median GPU rental $/hr per model</t>
  </si>
  <si>
    <t xml:space="preserve">public API; append-only archive (cannot backfill)</t>
  </si>
  <si>
    <t xml:space="preserve">weekly snapshot</t>
  </si>
  <si>
    <t xml:space="preserve">https://vast.ai</t>
  </si>
  <si>
    <t xml:space="preserve">Damodaran (NYU Stern)</t>
  </si>
  <si>
    <t xml:space="preserve">implied equity risk premium</t>
  </si>
  <si>
    <t xml:space="preserve">published XLS</t>
  </si>
  <si>
    <t xml:space="preserve">annual history</t>
  </si>
  <si>
    <t xml:space="preserve">T2</t>
  </si>
  <si>
    <t xml:space="preserve">https://pages.stern.nyu.edu/~adamodar/</t>
  </si>
  <si>
    <t xml:space="preserve">FMP (Ultimate)</t>
  </si>
  <si>
    <t xml:space="preserve">earnings-call transcripts; statements for foreign filers (NBIS)</t>
  </si>
  <si>
    <t xml:space="preserve">paid API, key in CI secrets</t>
  </si>
  <si>
    <t xml:space="preserve">weekly scan; 2023Q1 backfill done</t>
  </si>
  <si>
    <t xml:space="preserve">https://financialmodelingprep.com</t>
  </si>
  <si>
    <t xml:space="preserve">Newsrooms / press wires / SEC filings</t>
  </si>
  <si>
    <t xml:space="preserve">deal-ledger primary sources</t>
  </si>
  <si>
    <t xml:space="preserve">AI harvest + human PR review; validator-enforced</t>
  </si>
  <si>
    <t xml:space="preserve">T1/T2</t>
  </si>
  <si>
    <t xml:space="preserve">ledger column primary_source_url</t>
  </si>
  <si>
    <t xml:space="preserve">Census BTOS</t>
  </si>
  <si>
    <t xml:space="preserve">firm AI adoption</t>
  </si>
  <si>
    <t xml:space="preserve">free tables/API</t>
  </si>
  <si>
    <t xml:space="preserve">biweekly (Phase 2)</t>
  </si>
  <si>
    <t xml:space="preserve">https://www.census.gov</t>
  </si>
  <si>
    <t xml:space="preserve">BLS OEWS / productivity</t>
  </si>
  <si>
    <t xml:space="preserve">wages; sector productivity</t>
  </si>
  <si>
    <t xml:space="preserve">free API</t>
  </si>
  <si>
    <t xml:space="preserve">annual/quarterly (Phase 2)</t>
  </si>
  <si>
    <t xml:space="preserve">https://www.bls.gov</t>
  </si>
  <si>
    <t xml:space="preserve">EIA</t>
  </si>
  <si>
    <t xml:space="preserve">retail electricity prices, data-centre states</t>
  </si>
  <si>
    <t xml:space="preserve">free API (key in secrets)</t>
  </si>
  <si>
    <t xml:space="preserve">monthly (Phase 2)</t>
  </si>
  <si>
    <t xml:space="preserve">https://www.eia.gov</t>
  </si>
  <si>
    <t xml:space="preserve">Anthropic Economic Index</t>
  </si>
  <si>
    <t xml:space="preserve">AI task usage by occupation</t>
  </si>
  <si>
    <t xml:space="preserve">public dataset (Hugging Face)</t>
  </si>
  <si>
    <t xml:space="preserve">on release (Phase 2)</t>
  </si>
  <si>
    <t xml:space="preserve">https://huggingface.co/datasets/Anthropic/EconomicIndex</t>
  </si>
  <si>
    <t xml:space="preserve">series_id</t>
  </si>
  <si>
    <t xml:space="preserve">Description</t>
  </si>
  <si>
    <t xml:space="preserve">Unit</t>
  </si>
  <si>
    <t xml:space="preserve">Construction note</t>
  </si>
  <si>
    <t xml:space="preserve">edgar_{ticker}_capex_q</t>
  </si>
  <si>
    <t xml:space="preserve">capital expenditure per firm, quarterly</t>
  </si>
  <si>
    <t xml:space="preserve">USD</t>
  </si>
  <si>
    <t xml:space="preserve">XBRL tags in fallback order; YTD differenced within fiscal year</t>
  </si>
  <si>
    <t xml:space="preserve">edgar_{ticker}_ocf_q</t>
  </si>
  <si>
    <t xml:space="preserve">operating cash flow per firm, quarterly</t>
  </si>
  <si>
    <t xml:space="preserve">as above</t>
  </si>
  <si>
    <t xml:space="preserve">edgar_{ticker}_debt_issued_q</t>
  </si>
  <si>
    <t xml:space="preserve">long-term debt issuance per firm</t>
  </si>
  <si>
    <t xml:space="preserve">as above; sparse for some firms</t>
  </si>
  <si>
    <t xml:space="preserve">fmp_nbis_*_q</t>
  </si>
  <si>
    <t xml:space="preserve">Nebius (foreign filer) equivalents</t>
  </si>
  <si>
    <t xml:space="preserve">FMP cash-flow-statement endpoint; tier T2</t>
  </si>
  <si>
    <t xml:space="preserve">census_datacenter_construction</t>
  </si>
  <si>
    <t xml:space="preserve">US data-centre construction</t>
  </si>
  <si>
    <t xml:space="preserve">USD mn SAAR</t>
  </si>
  <si>
    <t xml:space="preserve">'Data center' column of privsatime.xlsx; revisions overwrite</t>
  </si>
  <si>
    <t xml:space="preserve">treasury_10y</t>
  </si>
  <si>
    <t xml:space="preserve">10-year Treasury yield</t>
  </si>
  <si>
    <t xml:space="preserve">percent</t>
  </si>
  <si>
    <t xml:space="preserve">current + prior year files concatenated</t>
  </si>
  <si>
    <t xml:space="preserve">fred_baa10y / fred_dgs10</t>
  </si>
  <si>
    <t xml:space="preserve">Baa spread / 10y cross-check</t>
  </si>
  <si>
    <t xml:space="preserve">retry x3; dead-source canary on failure</t>
  </si>
  <si>
    <t xml:space="preserve">vastai_gpu_rental</t>
  </si>
  <si>
    <t xml:space="preserve">median rental price per GPU model</t>
  </si>
  <si>
    <t xml:space="preserve">USD/GPU-hr</t>
  </si>
  <si>
    <t xml:space="preserve">median across &gt;=3 offers; append-only</t>
  </si>
  <si>
    <t xml:space="preserve">damodaran_implied_erp</t>
  </si>
  <si>
    <t xml:space="preserve">histimpl.xls, header auto-detected</t>
  </si>
  <si>
    <t xml:space="preserve">(curated) ledger.csv</t>
  </si>
  <si>
    <t xml:space="preserve">financing deal ledger</t>
  </si>
  <si>
    <t xml:space="preserve">USD/deal</t>
  </si>
  <si>
    <t xml:space="preserve">schema-enforced; primary source required; discovery_mode recorded</t>
  </si>
  <si>
    <t xml:space="preserve">(raw) transcript_hits.csv</t>
  </si>
  <si>
    <t xml:space="preserve">candidate AI-revenue statements</t>
  </si>
  <si>
    <t xml:space="preserve">text</t>
  </si>
  <si>
    <t xml:space="preserve">regex prefilter; human promotes to curated</t>
  </si>
  <si>
    <t xml:space="preserve">Assumption</t>
  </si>
  <si>
    <t xml:space="preserve">Value</t>
  </si>
  <si>
    <t xml:space="preserve">Note</t>
  </si>
  <si>
    <t xml:space="preserve">status</t>
  </si>
  <si>
    <t xml:space="preserve">active (PR #2, 2026-06-12)</t>
  </si>
  <si>
    <t xml:space="preserve">version bump restates full back-series (CI-enforced)</t>
  </si>
  <si>
    <t xml:space="preserve">Treasury 10y (%, 2026-06-11)</t>
  </si>
  <si>
    <t xml:space="preserve">treasury_10y series</t>
  </si>
  <si>
    <t xml:space="preserve">Implied ERP (%, Damodaran 2025)</t>
  </si>
  <si>
    <t xml:space="preserve">DEPRECIATION delta, chips+servers</t>
  </si>
  <si>
    <t xml:space="preserve">band spans accounting vs sceptic views</t>
  </si>
  <si>
    <t xml:space="preserve">  LOW</t>
  </si>
  <si>
    <t xml:space="preserve">~5.5yr life (10-K schedules)</t>
  </si>
  <si>
    <t xml:space="preserve">  MID</t>
  </si>
  <si>
    <t xml:space="preserve">midpoint, not a claim</t>
  </si>
  <si>
    <t xml:space="preserve">  HIGH</t>
  </si>
  <si>
    <t xml:space="preserve">~2.5yr life (Burry arithmetic)</t>
  </si>
  <si>
    <t xml:space="preserve">DEPRECIATION delta, buildings</t>
  </si>
  <si>
    <t xml:space="preserve">LOW 0.02 / HIGH 0.03</t>
  </si>
  <si>
    <t xml:space="preserve">DEPRECIATION delta, power/other</t>
  </si>
  <si>
    <t xml:space="preserve">LOW 0.03 / HIGH 0.05</t>
  </si>
  <si>
    <t xml:space="preserve">QUASI-RENT MARGIN (revenue -&gt; quasi-rents)</t>
  </si>
  <si>
    <t xml:space="preserve">widest band in the system</t>
  </si>
  <si>
    <t xml:space="preserve">K allocation, hyperscaler</t>
  </si>
  <si>
    <t xml:space="preserve">60 / 25 / 15</t>
  </si>
  <si>
    <t xml:space="preserve">chips/buildings/power - flagged for SemiAnalysis calibration</t>
  </si>
  <si>
    <t xml:space="preserve">K allocation, neocloud</t>
  </si>
  <si>
    <t xml:space="preserve">75 / 15 / 10</t>
  </si>
  <si>
    <t xml:space="preserve">Cs horizons (years)</t>
  </si>
  <si>
    <t xml:space="preserve">10 and 30</t>
  </si>
  <si>
    <t xml:space="preserve">Map movement rule</t>
  </si>
  <si>
    <t xml:space="preserve">outside previous quarter's ellipse</t>
  </si>
  <si>
    <t xml:space="preserve">pre-committed</t>
  </si>
  <si>
    <t xml:space="preserve">F1 - FINANCING HEADROOM (debt dial) = trailing-4q capex / trailing-4q operating cash flow</t>
  </si>
  <si>
    <t xml:space="preserve">Firm</t>
  </si>
  <si>
    <t xml:space="preserve">Capex t4q ($bn)</t>
  </si>
  <si>
    <t xml:space="preserve">OCF t4q ($bn)</t>
  </si>
  <si>
    <t xml:space="preserve">Capex share of OCF</t>
  </si>
  <si>
    <t xml:space="preserve">MSFT</t>
  </si>
  <si>
    <t xml:space="preserve">SEC EDGAR XBRL, retrieved 2026-06-12 (repo data/series/)</t>
  </si>
  <si>
    <t xml:space="preserve">GOOGL</t>
  </si>
  <si>
    <t xml:space="preserve">META</t>
  </si>
  <si>
    <t xml:space="preserve">AMZN</t>
  </si>
  <si>
    <t xml:space="preserve">ORCL</t>
  </si>
  <si>
    <t xml:space="preserve">USER COST OF CAPITAL (earnings dial denominator) = SUM_i (r_i + delta_i) x K_i</t>
  </si>
  <si>
    <t xml:space="preserve">Input</t>
  </si>
  <si>
    <t xml:space="preserve">K chips+servers ($bn)</t>
  </si>
  <si>
    <t xml:space="preserve">ILLUSTRATIVE - real K accumulates from filed capex</t>
  </si>
  <si>
    <t xml:space="preserve">K buildings ($bn)</t>
  </si>
  <si>
    <t xml:space="preserve">illustrative</t>
  </si>
  <si>
    <t xml:space="preserve">K power/other ($bn)</t>
  </si>
  <si>
    <t xml:space="preserve">r equity (decimal)</t>
  </si>
  <si>
    <t xml:space="preserve">Treasury 10y + ERP</t>
  </si>
  <si>
    <t xml:space="preserve">User cost ($bn/yr)</t>
  </si>
  <si>
    <t xml:space="preserve">mid-delta corners; repeat with LOW/HIGH for the band</t>
  </si>
  <si>
    <t xml:space="preserve">QUASI-RENTS AND COVERAGE (earnings dial)</t>
  </si>
  <si>
    <t xml:space="preserve">AI-attributable revenue ($bn/yr)</t>
  </si>
  <si>
    <t xml:space="preserve">ILLUSTRATIVE - tiered T1/T2/T3 assembly in pipeline</t>
  </si>
  <si>
    <t xml:space="preserve">Quasi-rents LOW ($bn)</t>
  </si>
  <si>
    <t xml:space="preserve">margin LOW</t>
  </si>
  <si>
    <t xml:space="preserve">Quasi-rents HIGH ($bn)</t>
  </si>
  <si>
    <t xml:space="preserve">margin HIGH</t>
  </si>
  <si>
    <t xml:space="preserve">Cp coverage LOW</t>
  </si>
  <si>
    <t xml:space="preserve">1.0 = the machinery pays for itself</t>
  </si>
  <si>
    <t xml:space="preserve">Cp coverage HIGH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</si>
</sst>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EFE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EF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8" customFormat="false" ht="15" hidden="false" customHeight="false" outlineLevel="0" collapsed="false">
      <c r="A8" s="0" t="s">
        <v>11</v>
      </c>
      <c r="B8" s="0" t="s">
        <v>12</v>
      </c>
    </row>
    <row r="9" customFormat="false" ht="15" hidden="false" customHeight="false" outlineLevel="0" collapsed="false">
      <c r="A9" s="0" t="s">
        <v>13</v>
      </c>
      <c r="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30</v>
      </c>
      <c r="E3" s="0" t="s">
        <v>25</v>
      </c>
      <c r="F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35</v>
      </c>
      <c r="E4" s="0" t="s">
        <v>25</v>
      </c>
      <c r="F4" s="0" t="s">
        <v>36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0" t="s">
        <v>25</v>
      </c>
      <c r="F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44</v>
      </c>
      <c r="D6" s="0" t="s">
        <v>45</v>
      </c>
      <c r="E6" s="0" t="s">
        <v>25</v>
      </c>
      <c r="F6" s="0" t="s">
        <v>46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</row>
    <row r="8" customFormat="false" ht="15" hidden="false" customHeight="false" outlineLevel="0" collapsed="false">
      <c r="A8" s="0" t="s">
        <v>53</v>
      </c>
      <c r="B8" s="0" t="s">
        <v>54</v>
      </c>
      <c r="C8" s="0" t="s">
        <v>55</v>
      </c>
      <c r="D8" s="0" t="s">
        <v>56</v>
      </c>
      <c r="E8" s="0" t="s">
        <v>51</v>
      </c>
      <c r="F8" s="0" t="s">
        <v>57</v>
      </c>
    </row>
    <row r="9" customFormat="false" ht="15" hidden="false" customHeight="false" outlineLevel="0" collapsed="false">
      <c r="A9" s="0" t="s">
        <v>58</v>
      </c>
      <c r="B9" s="0" t="s">
        <v>59</v>
      </c>
      <c r="C9" s="0" t="s">
        <v>60</v>
      </c>
      <c r="D9" s="0" t="s">
        <v>40</v>
      </c>
      <c r="E9" s="0" t="s">
        <v>61</v>
      </c>
      <c r="F9" s="0" t="s">
        <v>62</v>
      </c>
    </row>
    <row r="10" customFormat="false" ht="15" hidden="false" customHeight="false" outlineLevel="0" collapsed="false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25</v>
      </c>
      <c r="F10" s="0" t="s">
        <v>67</v>
      </c>
    </row>
    <row r="11" customFormat="false" ht="15" hidden="false" customHeight="false" outlineLevel="0" collapsed="false">
      <c r="A11" s="0" t="s">
        <v>68</v>
      </c>
      <c r="B11" s="0" t="s">
        <v>69</v>
      </c>
      <c r="C11" s="0" t="s">
        <v>70</v>
      </c>
      <c r="D11" s="0" t="s">
        <v>71</v>
      </c>
      <c r="E11" s="0" t="s">
        <v>25</v>
      </c>
      <c r="F11" s="0" t="s">
        <v>72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25</v>
      </c>
      <c r="F12" s="0" t="s">
        <v>77</v>
      </c>
    </row>
    <row r="13" customFormat="false" ht="15" hidden="false" customHeight="false" outlineLevel="0" collapsed="false">
      <c r="A13" s="0" t="s">
        <v>78</v>
      </c>
      <c r="B13" s="0" t="s">
        <v>79</v>
      </c>
      <c r="C13" s="0" t="s">
        <v>80</v>
      </c>
      <c r="D13" s="0" t="s">
        <v>81</v>
      </c>
      <c r="E13" s="0" t="s">
        <v>51</v>
      </c>
      <c r="F13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2" t="s">
        <v>83</v>
      </c>
      <c r="B1" s="2" t="s">
        <v>84</v>
      </c>
      <c r="C1" s="2" t="s">
        <v>85</v>
      </c>
      <c r="D1" s="2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90</v>
      </c>
    </row>
    <row r="3" customFormat="false" ht="15" hidden="false" customHeight="false" outlineLevel="0" collapsed="false">
      <c r="A3" s="0" t="s">
        <v>91</v>
      </c>
      <c r="B3" s="0" t="s">
        <v>92</v>
      </c>
      <c r="C3" s="0" t="s">
        <v>89</v>
      </c>
      <c r="D3" s="0" t="s">
        <v>93</v>
      </c>
    </row>
    <row r="4" customFormat="false" ht="15" hidden="false" customHeight="false" outlineLevel="0" collapsed="false">
      <c r="A4" s="0" t="s">
        <v>94</v>
      </c>
      <c r="B4" s="0" t="s">
        <v>95</v>
      </c>
      <c r="C4" s="0" t="s">
        <v>89</v>
      </c>
      <c r="D4" s="0" t="s">
        <v>96</v>
      </c>
    </row>
    <row r="5" customFormat="false" ht="15" hidden="false" customHeight="false" outlineLevel="0" collapsed="false">
      <c r="A5" s="0" t="s">
        <v>97</v>
      </c>
      <c r="B5" s="0" t="s">
        <v>98</v>
      </c>
      <c r="C5" s="0" t="s">
        <v>89</v>
      </c>
      <c r="D5" s="0" t="s">
        <v>99</v>
      </c>
    </row>
    <row r="6" customFormat="false" ht="15" hidden="false" customHeight="false" outlineLevel="0" collapsed="false">
      <c r="A6" s="0" t="s">
        <v>100</v>
      </c>
      <c r="B6" s="0" t="s">
        <v>101</v>
      </c>
      <c r="C6" s="0" t="s">
        <v>102</v>
      </c>
      <c r="D6" s="0" t="s">
        <v>103</v>
      </c>
    </row>
    <row r="7" customFormat="false" ht="15" hidden="false" customHeight="false" outlineLevel="0" collapsed="false">
      <c r="A7" s="0" t="s">
        <v>104</v>
      </c>
      <c r="B7" s="0" t="s">
        <v>105</v>
      </c>
      <c r="C7" s="0" t="s">
        <v>106</v>
      </c>
      <c r="D7" s="0" t="s">
        <v>107</v>
      </c>
    </row>
    <row r="8" customFormat="false" ht="15" hidden="false" customHeight="false" outlineLevel="0" collapsed="false">
      <c r="A8" s="0" t="s">
        <v>108</v>
      </c>
      <c r="B8" s="0" t="s">
        <v>109</v>
      </c>
      <c r="C8" s="0" t="s">
        <v>106</v>
      </c>
      <c r="D8" s="0" t="s">
        <v>110</v>
      </c>
    </row>
    <row r="9" customFormat="false" ht="15" hidden="false" customHeight="false" outlineLevel="0" collapsed="false">
      <c r="A9" s="0" t="s">
        <v>111</v>
      </c>
      <c r="B9" s="0" t="s">
        <v>112</v>
      </c>
      <c r="C9" s="0" t="s">
        <v>113</v>
      </c>
      <c r="D9" s="0" t="s">
        <v>114</v>
      </c>
    </row>
    <row r="10" customFormat="false" ht="15" hidden="false" customHeight="false" outlineLevel="0" collapsed="false">
      <c r="A10" s="0" t="s">
        <v>115</v>
      </c>
      <c r="B10" s="0" t="s">
        <v>48</v>
      </c>
      <c r="C10" s="0" t="s">
        <v>106</v>
      </c>
      <c r="D10" s="0" t="s">
        <v>116</v>
      </c>
    </row>
    <row r="11" customFormat="false" ht="15" hidden="false" customHeight="false" outlineLevel="0" collapsed="false">
      <c r="A11" s="0" t="s">
        <v>117</v>
      </c>
      <c r="B11" s="0" t="s">
        <v>118</v>
      </c>
      <c r="C11" s="0" t="s">
        <v>119</v>
      </c>
      <c r="D11" s="0" t="s">
        <v>120</v>
      </c>
    </row>
    <row r="12" customFormat="false" ht="15" hidden="false" customHeight="false" outlineLevel="0" collapsed="false">
      <c r="A12" s="0" t="s">
        <v>121</v>
      </c>
      <c r="B12" s="0" t="s">
        <v>122</v>
      </c>
      <c r="C12" s="0" t="s">
        <v>123</v>
      </c>
      <c r="D12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56"/>
  </cols>
  <sheetData>
    <row r="1" customFormat="false" ht="15" hidden="false" customHeight="false" outlineLevel="0" collapsed="false">
      <c r="A1" s="2" t="s">
        <v>125</v>
      </c>
      <c r="B1" s="2" t="s">
        <v>126</v>
      </c>
      <c r="C1" s="2" t="s">
        <v>127</v>
      </c>
    </row>
    <row r="2" customFormat="false" ht="15" hidden="false" customHeight="false" outlineLevel="0" collapsed="false">
      <c r="A2" s="0" t="s">
        <v>128</v>
      </c>
      <c r="B2" s="0" t="s">
        <v>129</v>
      </c>
      <c r="C2" s="0" t="s">
        <v>130</v>
      </c>
    </row>
    <row r="3" customFormat="false" ht="15" hidden="false" customHeight="false" outlineLevel="0" collapsed="false">
      <c r="A3" s="0" t="s">
        <v>131</v>
      </c>
      <c r="B3" s="3" t="n">
        <v>4.45</v>
      </c>
      <c r="C3" s="0" t="s">
        <v>132</v>
      </c>
    </row>
    <row r="4" customFormat="false" ht="15" hidden="false" customHeight="false" outlineLevel="0" collapsed="false">
      <c r="A4" s="0" t="s">
        <v>133</v>
      </c>
      <c r="B4" s="3" t="n">
        <v>4.23</v>
      </c>
      <c r="C4" s="0" t="s">
        <v>115</v>
      </c>
    </row>
    <row r="6" customFormat="false" ht="15" hidden="false" customHeight="false" outlineLevel="0" collapsed="false">
      <c r="A6" s="0" t="s">
        <v>134</v>
      </c>
      <c r="C6" s="0" t="s">
        <v>135</v>
      </c>
    </row>
    <row r="7" customFormat="false" ht="15" hidden="false" customHeight="false" outlineLevel="0" collapsed="false">
      <c r="A7" s="0" t="s">
        <v>136</v>
      </c>
      <c r="B7" s="3" t="n">
        <v>0.18</v>
      </c>
      <c r="C7" s="0" t="s">
        <v>137</v>
      </c>
    </row>
    <row r="8" customFormat="false" ht="15" hidden="false" customHeight="false" outlineLevel="0" collapsed="false">
      <c r="A8" s="0" t="s">
        <v>138</v>
      </c>
      <c r="B8" s="3" t="n">
        <v>0.28</v>
      </c>
      <c r="C8" s="0" t="s">
        <v>139</v>
      </c>
    </row>
    <row r="9" customFormat="false" ht="15" hidden="false" customHeight="false" outlineLevel="0" collapsed="false">
      <c r="A9" s="0" t="s">
        <v>140</v>
      </c>
      <c r="B9" s="3" t="n">
        <v>0.4</v>
      </c>
      <c r="C9" s="0" t="s">
        <v>141</v>
      </c>
    </row>
    <row r="11" customFormat="false" ht="15" hidden="false" customHeight="false" outlineLevel="0" collapsed="false">
      <c r="A11" s="0" t="s">
        <v>142</v>
      </c>
    </row>
    <row r="12" customFormat="false" ht="15" hidden="false" customHeight="false" outlineLevel="0" collapsed="false">
      <c r="A12" s="0" t="s">
        <v>138</v>
      </c>
      <c r="B12" s="3" t="n">
        <v>0.025</v>
      </c>
      <c r="C12" s="0" t="s">
        <v>143</v>
      </c>
    </row>
    <row r="15" customFormat="false" ht="15" hidden="false" customHeight="false" outlineLevel="0" collapsed="false">
      <c r="A15" s="0" t="s">
        <v>144</v>
      </c>
    </row>
    <row r="16" customFormat="false" ht="15" hidden="false" customHeight="false" outlineLevel="0" collapsed="false">
      <c r="A16" s="0" t="s">
        <v>138</v>
      </c>
      <c r="B16" s="3" t="n">
        <v>0.04</v>
      </c>
      <c r="C16" s="0" t="s">
        <v>145</v>
      </c>
    </row>
    <row r="18" customFormat="false" ht="15" hidden="false" customHeight="false" outlineLevel="0" collapsed="false">
      <c r="A18" s="0" t="s">
        <v>146</v>
      </c>
      <c r="C18" s="0" t="s">
        <v>147</v>
      </c>
    </row>
    <row r="19" customFormat="false" ht="15" hidden="false" customHeight="false" outlineLevel="0" collapsed="false">
      <c r="A19" s="0" t="s">
        <v>136</v>
      </c>
      <c r="B19" s="3" t="n">
        <v>0.3</v>
      </c>
    </row>
    <row r="20" customFormat="false" ht="15" hidden="false" customHeight="false" outlineLevel="0" collapsed="false">
      <c r="A20" s="0" t="s">
        <v>138</v>
      </c>
      <c r="B20" s="3" t="n">
        <v>0.5</v>
      </c>
    </row>
    <row r="21" customFormat="false" ht="15" hidden="false" customHeight="false" outlineLevel="0" collapsed="false">
      <c r="A21" s="0" t="s">
        <v>140</v>
      </c>
      <c r="B21" s="3" t="n">
        <v>0.7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s">
        <v>150</v>
      </c>
    </row>
    <row r="24" customFormat="false" ht="15" hidden="false" customHeight="false" outlineLevel="0" collapsed="false">
      <c r="A24" s="0" t="s">
        <v>151</v>
      </c>
      <c r="B24" s="0" t="s">
        <v>152</v>
      </c>
    </row>
    <row r="25" customFormat="false" ht="15" hidden="false" customHeight="false" outlineLevel="0" collapsed="false">
      <c r="A25" s="0" t="s">
        <v>153</v>
      </c>
      <c r="B25" s="0" t="s">
        <v>154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158</v>
      </c>
    </row>
    <row r="2" customFormat="false" ht="15" hidden="false" customHeight="false" outlineLevel="0" collapsed="false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15</v>
      </c>
    </row>
    <row r="3" customFormat="false" ht="15" hidden="false" customHeight="false" outlineLevel="0" collapsed="false">
      <c r="A3" s="0" t="s">
        <v>163</v>
      </c>
      <c r="B3" s="3" t="n">
        <v>97</v>
      </c>
      <c r="C3" s="3" t="n">
        <v>170</v>
      </c>
      <c r="D3" s="5" t="n">
        <f aca="false">B3/C3</f>
        <v>0.570588235294118</v>
      </c>
      <c r="E3" s="0" t="s">
        <v>164</v>
      </c>
    </row>
    <row r="4" customFormat="false" ht="15" hidden="false" customHeight="false" outlineLevel="0" collapsed="false">
      <c r="A4" s="0" t="s">
        <v>165</v>
      </c>
      <c r="B4" s="3" t="n">
        <v>110</v>
      </c>
      <c r="C4" s="3" t="n">
        <v>174</v>
      </c>
      <c r="D4" s="5" t="n">
        <f aca="false">B4/C4</f>
        <v>0.632183908045977</v>
      </c>
      <c r="E4" s="0" t="s">
        <v>164</v>
      </c>
    </row>
    <row r="5" customFormat="false" ht="15" hidden="false" customHeight="false" outlineLevel="0" collapsed="false">
      <c r="A5" s="0" t="s">
        <v>166</v>
      </c>
      <c r="B5" s="3" t="n">
        <v>76</v>
      </c>
      <c r="C5" s="3" t="n">
        <v>124</v>
      </c>
      <c r="D5" s="5" t="n">
        <f aca="false">B5/C5</f>
        <v>0.612903225806452</v>
      </c>
      <c r="E5" s="0" t="s">
        <v>164</v>
      </c>
    </row>
    <row r="6" customFormat="false" ht="15" hidden="false" customHeight="false" outlineLevel="0" collapsed="false">
      <c r="A6" s="0" t="s">
        <v>167</v>
      </c>
      <c r="B6" s="3" t="n">
        <v>151</v>
      </c>
      <c r="C6" s="3" t="n">
        <v>149</v>
      </c>
      <c r="D6" s="5" t="n">
        <f aca="false">B6/C6</f>
        <v>1.01342281879195</v>
      </c>
      <c r="E6" s="0" t="s">
        <v>164</v>
      </c>
    </row>
    <row r="7" customFormat="false" ht="15" hidden="false" customHeight="false" outlineLevel="0" collapsed="false">
      <c r="A7" s="0" t="s">
        <v>168</v>
      </c>
      <c r="B7" s="3" t="n">
        <v>48</v>
      </c>
      <c r="C7" s="3" t="n">
        <v>24</v>
      </c>
      <c r="D7" s="5" t="n">
        <f aca="false">B7/C7</f>
        <v>2</v>
      </c>
      <c r="E7" s="0" t="s">
        <v>164</v>
      </c>
    </row>
    <row r="9" customFormat="false" ht="15" hidden="false" customHeight="false" outlineLevel="0" collapsed="false">
      <c r="A9" s="4" t="s">
        <v>169</v>
      </c>
    </row>
    <row r="10" customFormat="false" ht="15" hidden="false" customHeight="false" outlineLevel="0" collapsed="false">
      <c r="A10" s="2" t="s">
        <v>170</v>
      </c>
      <c r="B10" s="2" t="s">
        <v>126</v>
      </c>
      <c r="C10" s="2" t="s">
        <v>127</v>
      </c>
      <c r="D10" s="2"/>
      <c r="E10" s="2"/>
    </row>
    <row r="11" customFormat="false" ht="15" hidden="false" customHeight="false" outlineLevel="0" collapsed="false">
      <c r="A11" s="0" t="s">
        <v>171</v>
      </c>
      <c r="B11" s="3" t="n">
        <v>600</v>
      </c>
      <c r="C11" s="0" t="s">
        <v>172</v>
      </c>
    </row>
    <row r="12" customFormat="false" ht="15" hidden="false" customHeight="false" outlineLevel="0" collapsed="false">
      <c r="A12" s="0" t="s">
        <v>173</v>
      </c>
      <c r="B12" s="3" t="n">
        <v>250</v>
      </c>
      <c r="C12" s="0" t="s">
        <v>174</v>
      </c>
    </row>
    <row r="13" customFormat="false" ht="15" hidden="false" customHeight="false" outlineLevel="0" collapsed="false">
      <c r="A13" s="0" t="s">
        <v>175</v>
      </c>
      <c r="B13" s="3" t="n">
        <v>150</v>
      </c>
      <c r="C13" s="0" t="s">
        <v>174</v>
      </c>
    </row>
    <row r="14" customFormat="false" ht="15" hidden="false" customHeight="false" outlineLevel="0" collapsed="false">
      <c r="A14" s="0" t="s">
        <v>176</v>
      </c>
      <c r="B14" s="0" t="n">
        <f aca="false">('Assumptions v1'!B3+'Assumptions v1'!B4)/100</f>
        <v>0.0868</v>
      </c>
      <c r="C14" s="0" t="s">
        <v>177</v>
      </c>
    </row>
    <row r="15" customFormat="false" ht="15" hidden="false" customHeight="false" outlineLevel="0" collapsed="false">
      <c r="A15" s="0" t="s">
        <v>178</v>
      </c>
      <c r="B15" s="6" t="n">
        <f aca="false">(B14+'Assumptions v1'!B8)*B11+(B14+'Assumptions v1'!B12)*B12+(B14+'Assumptions v1'!B16)*B13</f>
        <v>267.05</v>
      </c>
      <c r="C15" s="0" t="s">
        <v>179</v>
      </c>
    </row>
    <row r="17" customFormat="false" ht="15" hidden="false" customHeight="false" outlineLevel="0" collapsed="false">
      <c r="A17" s="4" t="s">
        <v>180</v>
      </c>
    </row>
    <row r="18" customFormat="false" ht="15" hidden="false" customHeight="false" outlineLevel="0" collapsed="false">
      <c r="A18" s="0" t="s">
        <v>181</v>
      </c>
      <c r="B18" s="3" t="n">
        <v>60</v>
      </c>
      <c r="C18" s="0" t="s">
        <v>182</v>
      </c>
    </row>
    <row r="19" customFormat="false" ht="15" hidden="false" customHeight="false" outlineLevel="0" collapsed="false">
      <c r="A19" s="0" t="s">
        <v>183</v>
      </c>
      <c r="B19" s="0" t="n">
        <f aca="false">B18*'Assumptions v1'!B19</f>
        <v>18</v>
      </c>
      <c r="C19" s="0" t="s">
        <v>184</v>
      </c>
    </row>
    <row r="20" customFormat="false" ht="15" hidden="false" customHeight="false" outlineLevel="0" collapsed="false">
      <c r="A20" s="0" t="s">
        <v>185</v>
      </c>
      <c r="B20" s="0" t="n">
        <f aca="false">B18*'Assumptions v1'!B21</f>
        <v>42</v>
      </c>
      <c r="C20" s="0" t="s">
        <v>186</v>
      </c>
    </row>
    <row r="21" customFormat="false" ht="15" hidden="false" customHeight="false" outlineLevel="0" collapsed="false">
      <c r="A21" s="0" t="s">
        <v>187</v>
      </c>
      <c r="B21" s="7" t="n">
        <f aca="false">B19/B15</f>
        <v>0.0674031080322037</v>
      </c>
      <c r="C21" s="0" t="s">
        <v>188</v>
      </c>
    </row>
    <row r="22" customFormat="false" ht="15" hidden="false" customHeight="false" outlineLevel="0" collapsed="false">
      <c r="A22" s="0" t="s">
        <v>189</v>
      </c>
      <c r="B22" s="7" t="n">
        <f aca="false">B20/B15</f>
        <v>0.157273918741809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2026-06-12T17:42:46Z</dcterms:created>
  <dc:creator>openpyxl</dc:creator>
  <dc:description/>
  <dc:language>en-US</dc:language>
  <cp:lastModifiedBy/>
  <dcterms:modified xsi:type="dcterms:W3CDTF">2026-06-12T17:42:46Z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